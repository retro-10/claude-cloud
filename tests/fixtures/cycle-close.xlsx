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Cycle Position" sheetId="3" state="visible" r:id="rId3"/>
    <sheet xmlns:r="http://schemas.openxmlformats.org/officeDocument/2006/relationships" name="Function Owners" sheetId="4" state="visible" r:id="rId4"/>
    <sheet xmlns:r="http://schemas.openxmlformats.org/officeDocument/2006/relationships" name="Salaries" sheetId="5" state="visible" r:id="rId5"/>
  </sheets>
  <definedNames>
    <definedName name="_xlnm._FilterDatabase" localSheetId="0" hidden="1">'Ledger'!$A$1:$G$53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sz val="14"/>
    </font>
    <font>
      <name val="Arial"/>
      <charset val="1"/>
      <family val="0"/>
      <color rgb="FF008000"/>
      <sz val="10"/>
    </font>
  </fonts>
  <fills count="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CCFFFF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9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right" vertical="bottom"/>
    </xf>
    <xf numFmtId="2" fontId="7" fillId="3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166" fontId="5" fillId="4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1" fontId="7" fillId="3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166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bottom" wrapText="1"/>
    </xf>
    <xf numFmtId="0" fontId="5" fillId="4" borderId="0" applyAlignment="1" pivotButton="0" quotePrefix="0" xfId="0">
      <alignment horizontal="general" vertical="bottom"/>
    </xf>
    <xf numFmtId="164" fontId="5" fillId="4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general" vertical="bottom"/>
    </xf>
    <xf numFmtId="165" fontId="5" fillId="4" borderId="0" applyAlignment="1" pivotButton="0" quotePrefix="0" xfId="0">
      <alignment horizontal="general" vertical="bottom"/>
    </xf>
    <xf numFmtId="164" fontId="10" fillId="0" borderId="0" applyAlignment="1" pivotButton="0" quotePrefix="0" xfId="0">
      <alignment horizontal="general" vertical="bottom"/>
    </xf>
    <xf numFmtId="165" fontId="10" fillId="0" borderId="0" applyAlignment="1" pivotButton="0" quotePrefix="0" xfId="0">
      <alignment horizontal="general" vertical="bottom"/>
    </xf>
    <xf numFmtId="1" fontId="6" fillId="0" borderId="0" applyAlignment="1" pivotButton="0" quotePrefix="0" xfId="0">
      <alignment horizontal="general" vertical="bottom"/>
    </xf>
    <xf numFmtId="9" fontId="7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7" fillId="0" borderId="0" applyAlignment="1" pivotButton="0" quotePrefix="0" xfId="0">
      <alignment horizontal="general" vertical="bottom"/>
    </xf>
    <xf numFmtId="166" fontId="5" fillId="0" borderId="0" applyAlignment="1" pivotButton="0" quotePrefix="0" xfId="0">
      <alignment horizontal="center" vertical="bottom"/>
    </xf>
    <xf numFmtId="166" fontId="6" fillId="0" borderId="0" applyAlignment="1" pivotButton="0" quotePrefix="0" xfId="0">
      <alignment horizontal="right" vertical="bottom"/>
    </xf>
    <xf numFmtId="2" fontId="7" fillId="3" borderId="0" applyAlignment="1" pivotButton="0" quotePrefix="0" xfId="0">
      <alignment horizontal="general" vertical="bottom"/>
    </xf>
    <xf numFmtId="165" fontId="6" fillId="0" borderId="0" applyAlignment="1" pivotButton="0" quotePrefix="0" xfId="0">
      <alignment horizontal="right" vertical="bottom"/>
    </xf>
    <xf numFmtId="164" fontId="6" fillId="0" borderId="0" applyAlignment="1" pivotButton="0" quotePrefix="0" xfId="0">
      <alignment horizontal="right" vertical="bottom"/>
    </xf>
    <xf numFmtId="166" fontId="5" fillId="4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I5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33" min="1" max="1"/>
    <col width="34" customWidth="1" style="33" min="2" max="2"/>
    <col width="14" customWidth="1" style="33" min="3" max="3"/>
    <col width="10" customWidth="1" style="33" min="4" max="4"/>
    <col width="22" customWidth="1" style="33" min="5" max="5"/>
    <col width="10" customWidth="1" style="33" min="6" max="7"/>
  </cols>
  <sheetData>
    <row r="1" ht="15" customHeight="1" s="34">
      <c r="A1" s="35" t="inlineStr">
        <is>
          <t>Source</t>
        </is>
      </c>
      <c r="B1" s="35" t="inlineStr">
        <is>
          <t>Item</t>
        </is>
      </c>
      <c r="C1" s="35" t="inlineStr">
        <is>
          <t>Amount (EGP)</t>
        </is>
      </c>
      <c r="D1" s="35" t="inlineStr">
        <is>
          <t>Direction</t>
        </is>
      </c>
      <c r="E1" s="35" t="inlineStr">
        <is>
          <t>Category</t>
        </is>
      </c>
      <c r="F1" s="35" t="inlineStr">
        <is>
          <t>Partner</t>
        </is>
      </c>
      <c r="G1" s="35" t="inlineStr">
        <is>
          <t>Status</t>
        </is>
      </c>
      <c r="I1" s="36" t="n"/>
    </row>
    <row r="2" ht="15" customHeight="1" s="34">
      <c r="A2" s="37" t="inlineStr">
        <is>
          <t>Camp Batch 1</t>
        </is>
      </c>
      <c r="B2" s="37" t="inlineStr">
        <is>
          <t>Student 1</t>
        </is>
      </c>
      <c r="C2" s="38" t="n">
        <v>20000</v>
      </c>
      <c r="D2" s="37" t="inlineStr">
        <is>
          <t>In</t>
        </is>
      </c>
      <c r="E2" s="37" t="inlineStr">
        <is>
          <t>Camp income</t>
        </is>
      </c>
      <c r="F2" s="37" t="n"/>
      <c r="G2" s="37" t="inlineStr">
        <is>
          <t>Done</t>
        </is>
      </c>
      <c r="I2" s="39" t="n"/>
    </row>
    <row r="3" ht="15" customHeight="1" s="34">
      <c r="A3" s="37" t="inlineStr">
        <is>
          <t>Camp Batch 1</t>
        </is>
      </c>
      <c r="B3" s="37" t="inlineStr">
        <is>
          <t>Student 2</t>
        </is>
      </c>
      <c r="C3" s="38" t="n">
        <v>18000</v>
      </c>
      <c r="D3" s="37" t="inlineStr">
        <is>
          <t>In</t>
        </is>
      </c>
      <c r="E3" s="37" t="inlineStr">
        <is>
          <t>Camp income</t>
        </is>
      </c>
      <c r="F3" s="37" t="n"/>
      <c r="G3" s="37" t="inlineStr">
        <is>
          <t>Done</t>
        </is>
      </c>
      <c r="I3" s="39" t="n"/>
    </row>
    <row r="4" ht="15" customHeight="1" s="34">
      <c r="A4" s="37" t="inlineStr">
        <is>
          <t>Camp Batch 1</t>
        </is>
      </c>
      <c r="B4" s="37" t="inlineStr">
        <is>
          <t>Student 3</t>
        </is>
      </c>
      <c r="C4" s="38" t="n">
        <v>6000</v>
      </c>
      <c r="D4" s="37" t="inlineStr">
        <is>
          <t>In</t>
        </is>
      </c>
      <c r="E4" s="37" t="inlineStr">
        <is>
          <t>Camp income</t>
        </is>
      </c>
      <c r="F4" s="37" t="n"/>
      <c r="G4" s="37" t="inlineStr">
        <is>
          <t>Done</t>
        </is>
      </c>
      <c r="I4" s="39" t="n"/>
    </row>
    <row r="5" ht="15" customHeight="1" s="34">
      <c r="A5" s="37" t="inlineStr">
        <is>
          <t>Camp Batch 1</t>
        </is>
      </c>
      <c r="B5" s="37" t="inlineStr">
        <is>
          <t>Student 4</t>
        </is>
      </c>
      <c r="C5" s="38" t="n">
        <v>12000</v>
      </c>
      <c r="D5" s="37" t="inlineStr">
        <is>
          <t>In</t>
        </is>
      </c>
      <c r="E5" s="37" t="inlineStr">
        <is>
          <t>Camp income</t>
        </is>
      </c>
      <c r="F5" s="37" t="n"/>
      <c r="G5" s="37" t="inlineStr">
        <is>
          <t>Done</t>
        </is>
      </c>
    </row>
    <row r="6" ht="15" customHeight="1" s="34">
      <c r="A6" s="37" t="inlineStr">
        <is>
          <t>Camp Batch 1</t>
        </is>
      </c>
      <c r="B6" s="37" t="inlineStr">
        <is>
          <t>Student 5</t>
        </is>
      </c>
      <c r="C6" s="38" t="n">
        <v>12000</v>
      </c>
      <c r="D6" s="37" t="inlineStr">
        <is>
          <t>In</t>
        </is>
      </c>
      <c r="E6" s="37" t="inlineStr">
        <is>
          <t>Camp income</t>
        </is>
      </c>
      <c r="F6" s="37" t="n"/>
      <c r="G6" s="37" t="inlineStr">
        <is>
          <t>Done</t>
        </is>
      </c>
    </row>
    <row r="7" ht="15" customHeight="1" s="34">
      <c r="A7" s="37" t="inlineStr">
        <is>
          <t>Camp Batch 1</t>
        </is>
      </c>
      <c r="B7" s="37" t="inlineStr">
        <is>
          <t>Student 6</t>
        </is>
      </c>
      <c r="C7" s="38" t="n">
        <v>10000</v>
      </c>
      <c r="D7" s="37" t="inlineStr">
        <is>
          <t>In</t>
        </is>
      </c>
      <c r="E7" s="37" t="inlineStr">
        <is>
          <t>Camp income</t>
        </is>
      </c>
      <c r="F7" s="37" t="n"/>
      <c r="G7" s="37" t="inlineStr">
        <is>
          <t>Done</t>
        </is>
      </c>
    </row>
    <row r="8" ht="15" customHeight="1" s="34">
      <c r="A8" s="37" t="inlineStr">
        <is>
          <t>Camp Batch 1</t>
        </is>
      </c>
      <c r="B8" s="37" t="inlineStr">
        <is>
          <t>Student 7</t>
        </is>
      </c>
      <c r="C8" s="38" t="n">
        <v>9000</v>
      </c>
      <c r="D8" s="37" t="inlineStr">
        <is>
          <t>In</t>
        </is>
      </c>
      <c r="E8" s="37" t="inlineStr">
        <is>
          <t>Camp income</t>
        </is>
      </c>
      <c r="F8" s="37" t="n"/>
      <c r="G8" s="37" t="inlineStr">
        <is>
          <t>Done</t>
        </is>
      </c>
    </row>
    <row r="9" ht="15" customHeight="1" s="34">
      <c r="A9" s="37" t="inlineStr">
        <is>
          <t>Camp Batch 1</t>
        </is>
      </c>
      <c r="B9" s="37" t="inlineStr">
        <is>
          <t>Student 8</t>
        </is>
      </c>
      <c r="C9" s="38" t="n">
        <v>11000</v>
      </c>
      <c r="D9" s="37" t="inlineStr">
        <is>
          <t>In</t>
        </is>
      </c>
      <c r="E9" s="37" t="inlineStr">
        <is>
          <t>Camp income</t>
        </is>
      </c>
      <c r="F9" s="37" t="n"/>
      <c r="G9" s="37" t="inlineStr">
        <is>
          <t>Done</t>
        </is>
      </c>
    </row>
    <row r="10" ht="15" customHeight="1" s="34">
      <c r="A10" s="37" t="inlineStr">
        <is>
          <t>Camp Batch 1</t>
        </is>
      </c>
      <c r="B10" s="37" t="inlineStr">
        <is>
          <t>Student 9</t>
        </is>
      </c>
      <c r="C10" s="38" t="n">
        <v>5000</v>
      </c>
      <c r="D10" s="37" t="inlineStr">
        <is>
          <t>In</t>
        </is>
      </c>
      <c r="E10" s="37" t="inlineStr">
        <is>
          <t>Camp income</t>
        </is>
      </c>
      <c r="F10" s="37" t="n"/>
      <c r="G10" s="37" t="inlineStr">
        <is>
          <t>Done</t>
        </is>
      </c>
    </row>
    <row r="11" ht="15" customHeight="1" s="34">
      <c r="A11" s="37" t="inlineStr">
        <is>
          <t>Camp Batch 1</t>
        </is>
      </c>
      <c r="B11" s="37" t="inlineStr">
        <is>
          <t>Student 10 (installment still to come)</t>
        </is>
      </c>
      <c r="C11" s="38" t="n">
        <v>5000</v>
      </c>
      <c r="D11" s="37" t="inlineStr">
        <is>
          <t>In</t>
        </is>
      </c>
      <c r="E11" s="37" t="inlineStr">
        <is>
          <t>Camp income</t>
        </is>
      </c>
      <c r="F11" s="37" t="n"/>
      <c r="G11" s="37" t="inlineStr">
        <is>
          <t>Expected</t>
        </is>
      </c>
    </row>
    <row r="12" ht="15" customHeight="1" s="34">
      <c r="A12" s="37" t="inlineStr">
        <is>
          <t>Camp Batch 1</t>
        </is>
      </c>
      <c r="B12" s="37" t="inlineStr">
        <is>
          <t>Student 11</t>
        </is>
      </c>
      <c r="C12" s="38" t="n">
        <v>1000</v>
      </c>
      <c r="D12" s="37" t="inlineStr">
        <is>
          <t>In</t>
        </is>
      </c>
      <c r="E12" s="37" t="inlineStr">
        <is>
          <t>Camp income</t>
        </is>
      </c>
      <c r="F12" s="37" t="n"/>
      <c r="G12" s="37" t="inlineStr">
        <is>
          <t>Done</t>
        </is>
      </c>
    </row>
    <row r="13" ht="15" customHeight="1" s="34">
      <c r="A13" s="37" t="inlineStr">
        <is>
          <t>Camp Batch 1</t>
        </is>
      </c>
      <c r="B13" s="37" t="inlineStr">
        <is>
          <t>Student 12</t>
        </is>
      </c>
      <c r="C13" s="38" t="n">
        <v>24000</v>
      </c>
      <c r="D13" s="37" t="inlineStr">
        <is>
          <t>In</t>
        </is>
      </c>
      <c r="E13" s="37" t="inlineStr">
        <is>
          <t>Camp income</t>
        </is>
      </c>
      <c r="F13" s="37" t="n"/>
      <c r="G13" s="37" t="inlineStr">
        <is>
          <t>Done</t>
        </is>
      </c>
    </row>
    <row r="14" ht="15" customHeight="1" s="34">
      <c r="A14" s="37" t="inlineStr">
        <is>
          <t>Design house</t>
        </is>
      </c>
      <c r="B14" s="37" t="inlineStr">
        <is>
          <t>Lab payment</t>
        </is>
      </c>
      <c r="C14" s="38" t="n">
        <v>2000</v>
      </c>
      <c r="D14" s="37" t="inlineStr">
        <is>
          <t>In</t>
        </is>
      </c>
      <c r="E14" s="37" t="inlineStr">
        <is>
          <t>Design house income</t>
        </is>
      </c>
      <c r="F14" s="37" t="n"/>
      <c r="G14" s="37" t="inlineStr">
        <is>
          <t>Done</t>
        </is>
      </c>
    </row>
    <row r="15" ht="15" customHeight="1" s="34">
      <c r="A15" s="37" t="inlineStr">
        <is>
          <t>Design house</t>
        </is>
      </c>
      <c r="B15" s="37" t="inlineStr">
        <is>
          <t>Lab payment</t>
        </is>
      </c>
      <c r="C15" s="38" t="n">
        <v>500</v>
      </c>
      <c r="D15" s="37" t="inlineStr">
        <is>
          <t>In</t>
        </is>
      </c>
      <c r="E15" s="37" t="inlineStr">
        <is>
          <t>Design house income</t>
        </is>
      </c>
      <c r="F15" s="37" t="n"/>
      <c r="G15" s="37" t="inlineStr">
        <is>
          <t>Done</t>
        </is>
      </c>
    </row>
    <row r="16" ht="15" customHeight="1" s="34">
      <c r="A16" s="37" t="inlineStr">
        <is>
          <t>Design house</t>
        </is>
      </c>
      <c r="B16" s="37" t="inlineStr">
        <is>
          <t>Lab payment</t>
        </is>
      </c>
      <c r="C16" s="38" t="n">
        <v>15000</v>
      </c>
      <c r="D16" s="37" t="inlineStr">
        <is>
          <t>In</t>
        </is>
      </c>
      <c r="E16" s="37" t="inlineStr">
        <is>
          <t>Design house income</t>
        </is>
      </c>
      <c r="F16" s="37" t="n"/>
      <c r="G16" s="37" t="inlineStr">
        <is>
          <t>Done</t>
        </is>
      </c>
    </row>
    <row r="17" ht="15" customHeight="1" s="34">
      <c r="A17" s="37" t="inlineStr">
        <is>
          <t>Design house</t>
        </is>
      </c>
      <c r="B17" s="37" t="inlineStr">
        <is>
          <t>Lab payment</t>
        </is>
      </c>
      <c r="C17" s="38" t="n">
        <v>14500</v>
      </c>
      <c r="D17" s="37" t="inlineStr">
        <is>
          <t>In</t>
        </is>
      </c>
      <c r="E17" s="37" t="inlineStr">
        <is>
          <t>Design house income</t>
        </is>
      </c>
      <c r="F17" s="37" t="n"/>
      <c r="G17" s="37" t="inlineStr">
        <is>
          <t>Done</t>
        </is>
      </c>
    </row>
    <row r="18" ht="15" customHeight="1" s="34">
      <c r="A18" s="37" t="inlineStr">
        <is>
          <t>Camp Batch 2</t>
        </is>
      </c>
      <c r="B18" s="37" t="inlineStr">
        <is>
          <t>Student 13</t>
        </is>
      </c>
      <c r="C18" s="38" t="n">
        <v>4000</v>
      </c>
      <c r="D18" s="37" t="inlineStr">
        <is>
          <t>In</t>
        </is>
      </c>
      <c r="E18" s="37" t="inlineStr">
        <is>
          <t>Camp income</t>
        </is>
      </c>
      <c r="F18" s="37" t="n"/>
      <c r="G18" s="37" t="inlineStr">
        <is>
          <t>Done</t>
        </is>
      </c>
    </row>
    <row r="19" ht="15" customHeight="1" s="34">
      <c r="A19" s="37" t="inlineStr">
        <is>
          <t>Camp Batch 2</t>
        </is>
      </c>
      <c r="B19" s="37" t="inlineStr">
        <is>
          <t>Student 14</t>
        </is>
      </c>
      <c r="C19" s="38" t="n">
        <v>8000</v>
      </c>
      <c r="D19" s="37" t="inlineStr">
        <is>
          <t>In</t>
        </is>
      </c>
      <c r="E19" s="37" t="inlineStr">
        <is>
          <t>Camp income</t>
        </is>
      </c>
      <c r="F19" s="37" t="n"/>
      <c r="G19" s="37" t="inlineStr">
        <is>
          <t>Done</t>
        </is>
      </c>
    </row>
    <row r="20" ht="15" customHeight="1" s="34">
      <c r="A20" s="37" t="inlineStr">
        <is>
          <t>Camp Batch 2</t>
        </is>
      </c>
      <c r="B20" s="37" t="inlineStr">
        <is>
          <t>Student 15</t>
        </is>
      </c>
      <c r="C20" s="38" t="n">
        <v>8000</v>
      </c>
      <c r="D20" s="37" t="inlineStr">
        <is>
          <t>In</t>
        </is>
      </c>
      <c r="E20" s="37" t="inlineStr">
        <is>
          <t>Camp income</t>
        </is>
      </c>
      <c r="F20" s="37" t="n"/>
      <c r="G20" s="37" t="inlineStr">
        <is>
          <t>Done</t>
        </is>
      </c>
    </row>
    <row r="21" ht="15" customHeight="1" s="34">
      <c r="A21" s="37" t="inlineStr">
        <is>
          <t>Camp Batch 2</t>
        </is>
      </c>
      <c r="B21" s="37" t="inlineStr">
        <is>
          <t>Student 16</t>
        </is>
      </c>
      <c r="C21" s="38" t="n">
        <v>1000</v>
      </c>
      <c r="D21" s="37" t="inlineStr">
        <is>
          <t>In</t>
        </is>
      </c>
      <c r="E21" s="37" t="inlineStr">
        <is>
          <t>Camp income</t>
        </is>
      </c>
      <c r="F21" s="37" t="n"/>
      <c r="G21" s="37" t="inlineStr">
        <is>
          <t>Done</t>
        </is>
      </c>
    </row>
    <row r="22" ht="15" customHeight="1" s="34">
      <c r="A22" s="37" t="inlineStr">
        <is>
          <t>Camp Batch 2</t>
        </is>
      </c>
      <c r="B22" s="37" t="inlineStr">
        <is>
          <t>Student 17</t>
        </is>
      </c>
      <c r="C22" s="38" t="n">
        <v>7000</v>
      </c>
      <c r="D22" s="37" t="inlineStr">
        <is>
          <t>In</t>
        </is>
      </c>
      <c r="E22" s="37" t="inlineStr">
        <is>
          <t>Camp income</t>
        </is>
      </c>
      <c r="F22" s="37" t="n"/>
      <c r="G22" s="37" t="inlineStr">
        <is>
          <t>Done</t>
        </is>
      </c>
    </row>
    <row r="23" ht="15" customHeight="1" s="34">
      <c r="A23" s="37" t="inlineStr">
        <is>
          <t>Camp Batch 2</t>
        </is>
      </c>
      <c r="B23" s="37" t="inlineStr">
        <is>
          <t>Student 18</t>
        </is>
      </c>
      <c r="C23" s="38" t="n">
        <v>7000</v>
      </c>
      <c r="D23" s="37" t="inlineStr">
        <is>
          <t>In</t>
        </is>
      </c>
      <c r="E23" s="37" t="inlineStr">
        <is>
          <t>Camp income</t>
        </is>
      </c>
      <c r="F23" s="37" t="n"/>
      <c r="G23" s="37" t="inlineStr">
        <is>
          <t>Done</t>
        </is>
      </c>
    </row>
    <row r="24" ht="15" customHeight="1" s="34">
      <c r="A24" s="37" t="inlineStr">
        <is>
          <t>Camp costs</t>
        </is>
      </c>
      <c r="B24" s="37" t="inlineStr">
        <is>
          <t>Claude</t>
        </is>
      </c>
      <c r="C24" s="38" t="n">
        <v>900</v>
      </c>
      <c r="D24" s="37" t="inlineStr">
        <is>
          <t>Out</t>
        </is>
      </c>
      <c r="E24" s="37" t="inlineStr">
        <is>
          <t>Camp cost</t>
        </is>
      </c>
      <c r="F24" s="37" t="n"/>
      <c r="G24" s="37" t="inlineStr">
        <is>
          <t>Done</t>
        </is>
      </c>
    </row>
    <row r="25" ht="15" customHeight="1" s="34">
      <c r="A25" s="37" t="inlineStr">
        <is>
          <t>Camp costs</t>
        </is>
      </c>
      <c r="B25" s="37" t="inlineStr">
        <is>
          <t>Sales agent commission</t>
        </is>
      </c>
      <c r="C25" s="38" t="n">
        <v>1200</v>
      </c>
      <c r="D25" s="37" t="inlineStr">
        <is>
          <t>Out</t>
        </is>
      </c>
      <c r="E25" s="37" t="inlineStr">
        <is>
          <t>Camp cost</t>
        </is>
      </c>
      <c r="F25" s="37" t="n"/>
      <c r="G25" s="37" t="inlineStr">
        <is>
          <t>Done</t>
        </is>
      </c>
    </row>
    <row r="26" ht="15" customHeight="1" s="34">
      <c r="A26" s="37" t="inlineStr">
        <is>
          <t>Camp costs</t>
        </is>
      </c>
      <c r="B26" s="37" t="inlineStr">
        <is>
          <t>Shooting equipment</t>
        </is>
      </c>
      <c r="C26" s="38" t="n">
        <v>600</v>
      </c>
      <c r="D26" s="37" t="inlineStr">
        <is>
          <t>Out</t>
        </is>
      </c>
      <c r="E26" s="37" t="inlineStr">
        <is>
          <t>Camp cost</t>
        </is>
      </c>
      <c r="F26" s="37" t="n"/>
      <c r="G26" s="37" t="inlineStr">
        <is>
          <t>Done</t>
        </is>
      </c>
    </row>
    <row r="27" ht="15" customHeight="1" s="34">
      <c r="A27" s="37" t="inlineStr">
        <is>
          <t>Camp costs</t>
        </is>
      </c>
      <c r="B27" s="37" t="inlineStr">
        <is>
          <t>Microphone</t>
        </is>
      </c>
      <c r="C27" s="38" t="n">
        <v>700</v>
      </c>
      <c r="D27" s="37" t="inlineStr">
        <is>
          <t>Out</t>
        </is>
      </c>
      <c r="E27" s="37" t="inlineStr">
        <is>
          <t>Camp cost</t>
        </is>
      </c>
      <c r="F27" s="37" t="n"/>
      <c r="G27" s="37" t="inlineStr">
        <is>
          <t>Done</t>
        </is>
      </c>
    </row>
    <row r="28" ht="15" customHeight="1" s="34">
      <c r="A28" s="37" t="inlineStr">
        <is>
          <t>Camp costs</t>
        </is>
      </c>
      <c r="B28" s="37" t="inlineStr">
        <is>
          <t>Video editor</t>
        </is>
      </c>
      <c r="C28" s="38" t="n">
        <v>1500</v>
      </c>
      <c r="D28" s="37" t="inlineStr">
        <is>
          <t>Out</t>
        </is>
      </c>
      <c r="E28" s="37" t="inlineStr">
        <is>
          <t>Camp cost</t>
        </is>
      </c>
      <c r="F28" s="37" t="n"/>
      <c r="G28" s="37" t="inlineStr">
        <is>
          <t>Done</t>
        </is>
      </c>
    </row>
    <row r="29" ht="15" customHeight="1" s="34">
      <c r="A29" s="37" t="inlineStr">
        <is>
          <t>Camp costs</t>
        </is>
      </c>
      <c r="B29" s="37" t="inlineStr">
        <is>
          <t>Exocad setup</t>
        </is>
      </c>
      <c r="C29" s="38" t="n">
        <v>2000</v>
      </c>
      <c r="D29" s="37" t="inlineStr">
        <is>
          <t>Out</t>
        </is>
      </c>
      <c r="E29" s="37" t="inlineStr">
        <is>
          <t>Camp cost</t>
        </is>
      </c>
      <c r="F29" s="37" t="n"/>
      <c r="G29" s="37" t="inlineStr">
        <is>
          <t>Done</t>
        </is>
      </c>
    </row>
    <row r="30" ht="15" customHeight="1" s="34">
      <c r="A30" s="37" t="inlineStr">
        <is>
          <t>Camp costs</t>
        </is>
      </c>
      <c r="B30" s="37" t="inlineStr">
        <is>
          <t>Motion video</t>
        </is>
      </c>
      <c r="C30" s="38" t="n">
        <v>7000</v>
      </c>
      <c r="D30" s="37" t="inlineStr">
        <is>
          <t>Out</t>
        </is>
      </c>
      <c r="E30" s="37" t="inlineStr">
        <is>
          <t>Camp cost</t>
        </is>
      </c>
      <c r="F30" s="37" t="n"/>
      <c r="G30" s="37" t="inlineStr">
        <is>
          <t>Done</t>
        </is>
      </c>
    </row>
    <row r="31" ht="15" customHeight="1" s="34">
      <c r="A31" s="37" t="inlineStr">
        <is>
          <t>Camp costs</t>
        </is>
      </c>
      <c r="B31" s="37" t="inlineStr">
        <is>
          <t>Reels</t>
        </is>
      </c>
      <c r="C31" s="38" t="n">
        <v>4000</v>
      </c>
      <c r="D31" s="37" t="inlineStr">
        <is>
          <t>Out</t>
        </is>
      </c>
      <c r="E31" s="37" t="inlineStr">
        <is>
          <t>Camp cost</t>
        </is>
      </c>
      <c r="F31" s="37" t="n"/>
      <c r="G31" s="37" t="inlineStr">
        <is>
          <t>Done</t>
        </is>
      </c>
    </row>
    <row r="32" ht="15" customHeight="1" s="34">
      <c r="A32" s="37" t="inlineStr">
        <is>
          <t>Camp costs</t>
        </is>
      </c>
      <c r="B32" s="37" t="inlineStr">
        <is>
          <t>Google</t>
        </is>
      </c>
      <c r="C32" s="38" t="n">
        <v>800</v>
      </c>
      <c r="D32" s="37" t="inlineStr">
        <is>
          <t>Out</t>
        </is>
      </c>
      <c r="E32" s="37" t="inlineStr">
        <is>
          <t>Camp cost</t>
        </is>
      </c>
      <c r="F32" s="37" t="n"/>
      <c r="G32" s="37" t="inlineStr">
        <is>
          <t>Done</t>
        </is>
      </c>
    </row>
    <row r="33" ht="15" customHeight="1" s="34">
      <c r="A33" s="37" t="inlineStr">
        <is>
          <t>Camp costs</t>
        </is>
      </c>
      <c r="B33" s="37" t="inlineStr">
        <is>
          <t>Video editor</t>
        </is>
      </c>
      <c r="C33" s="38" t="n">
        <v>3000</v>
      </c>
      <c r="D33" s="37" t="inlineStr">
        <is>
          <t>Out</t>
        </is>
      </c>
      <c r="E33" s="37" t="inlineStr">
        <is>
          <t>Camp cost</t>
        </is>
      </c>
      <c r="F33" s="37" t="n"/>
      <c r="G33" s="37" t="inlineStr">
        <is>
          <t>Done</t>
        </is>
      </c>
    </row>
    <row r="34" ht="15" customHeight="1" s="34">
      <c r="A34" s="37" t="inlineStr">
        <is>
          <t>Camp costs</t>
        </is>
      </c>
      <c r="B34" s="37" t="inlineStr">
        <is>
          <t>Crochet</t>
        </is>
      </c>
      <c r="C34" s="38" t="n">
        <v>500</v>
      </c>
      <c r="D34" s="37" t="inlineStr">
        <is>
          <t>Out</t>
        </is>
      </c>
      <c r="E34" s="37" t="inlineStr">
        <is>
          <t>Camp cost</t>
        </is>
      </c>
      <c r="F34" s="37" t="n"/>
      <c r="G34" s="37" t="inlineStr">
        <is>
          <t>Done</t>
        </is>
      </c>
    </row>
    <row r="35" ht="15" customHeight="1" s="34">
      <c r="A35" s="37" t="inlineStr">
        <is>
          <t>Camp costs</t>
        </is>
      </c>
      <c r="B35" s="37" t="inlineStr">
        <is>
          <t>Claude</t>
        </is>
      </c>
      <c r="C35" s="38" t="n">
        <v>900</v>
      </c>
      <c r="D35" s="37" t="inlineStr">
        <is>
          <t>Out</t>
        </is>
      </c>
      <c r="E35" s="37" t="inlineStr">
        <is>
          <t>Camp cost</t>
        </is>
      </c>
      <c r="F35" s="37" t="n"/>
      <c r="G35" s="37" t="inlineStr">
        <is>
          <t>Done</t>
        </is>
      </c>
    </row>
    <row r="36" ht="15" customHeight="1" s="34">
      <c r="A36" s="37" t="inlineStr">
        <is>
          <t>Camp costs</t>
        </is>
      </c>
      <c r="B36" s="37" t="inlineStr">
        <is>
          <t>Marketing salary</t>
        </is>
      </c>
      <c r="C36" s="38" t="n">
        <v>3500</v>
      </c>
      <c r="D36" s="37" t="inlineStr">
        <is>
          <t>Out</t>
        </is>
      </c>
      <c r="E36" s="37" t="inlineStr">
        <is>
          <t>Camp cost</t>
        </is>
      </c>
      <c r="F36" s="37" t="n"/>
      <c r="G36" s="37" t="inlineStr">
        <is>
          <t>Done</t>
        </is>
      </c>
    </row>
    <row r="37" ht="15" customHeight="1" s="34">
      <c r="A37" s="37" t="inlineStr">
        <is>
          <t>Camp costs</t>
        </is>
      </c>
      <c r="B37" s="37" t="inlineStr">
        <is>
          <t>Marketing salary</t>
        </is>
      </c>
      <c r="C37" s="38" t="n">
        <v>5000</v>
      </c>
      <c r="D37" s="37" t="inlineStr">
        <is>
          <t>Out</t>
        </is>
      </c>
      <c r="E37" s="37" t="inlineStr">
        <is>
          <t>Camp cost</t>
        </is>
      </c>
      <c r="F37" s="37" t="n"/>
      <c r="G37" s="37" t="inlineStr">
        <is>
          <t>Expected</t>
        </is>
      </c>
    </row>
    <row r="38" ht="15" customHeight="1" s="34">
      <c r="A38" s="37" t="inlineStr">
        <is>
          <t>Camp costs</t>
        </is>
      </c>
      <c r="B38" s="37" t="inlineStr">
        <is>
          <t>Video editor</t>
        </is>
      </c>
      <c r="C38" s="38" t="n">
        <v>3000</v>
      </c>
      <c r="D38" s="37" t="inlineStr">
        <is>
          <t>Out</t>
        </is>
      </c>
      <c r="E38" s="37" t="inlineStr">
        <is>
          <t>Camp cost</t>
        </is>
      </c>
      <c r="F38" s="37" t="n"/>
      <c r="G38" s="37" t="inlineStr">
        <is>
          <t>Expected</t>
        </is>
      </c>
    </row>
    <row r="39" ht="15" customHeight="1" s="34">
      <c r="A39" s="37" t="inlineStr">
        <is>
          <t>Camp costs</t>
        </is>
      </c>
      <c r="B39" s="37" t="inlineStr">
        <is>
          <t>Motion video</t>
        </is>
      </c>
      <c r="C39" s="38" t="n">
        <v>6000</v>
      </c>
      <c r="D39" s="37" t="inlineStr">
        <is>
          <t>Out</t>
        </is>
      </c>
      <c r="E39" s="37" t="inlineStr">
        <is>
          <t>Camp cost</t>
        </is>
      </c>
      <c r="F39" s="37" t="n"/>
      <c r="G39" s="37" t="inlineStr">
        <is>
          <t>Expected</t>
        </is>
      </c>
    </row>
    <row r="40" ht="15" customHeight="1" s="34">
      <c r="A40" s="37" t="inlineStr">
        <is>
          <t>Camp costs</t>
        </is>
      </c>
      <c r="B40" s="37" t="inlineStr">
        <is>
          <t>Sales agent commission</t>
        </is>
      </c>
      <c r="C40" s="38" t="n">
        <v>4500</v>
      </c>
      <c r="D40" s="37" t="inlineStr">
        <is>
          <t>Out</t>
        </is>
      </c>
      <c r="E40" s="37" t="inlineStr">
        <is>
          <t>Camp cost</t>
        </is>
      </c>
      <c r="F40" s="37" t="n"/>
      <c r="G40" s="37" t="inlineStr">
        <is>
          <t>Expected</t>
        </is>
      </c>
    </row>
    <row r="41" ht="15" customHeight="1" s="34">
      <c r="A41" s="37" t="inlineStr">
        <is>
          <t>Design house</t>
        </is>
      </c>
      <c r="B41" s="37" t="inlineStr">
        <is>
          <t>Designer cost</t>
        </is>
      </c>
      <c r="C41" s="38" t="n">
        <v>4000</v>
      </c>
      <c r="D41" s="37" t="inlineStr">
        <is>
          <t>Out</t>
        </is>
      </c>
      <c r="E41" s="37" t="inlineStr">
        <is>
          <t>Designer cost</t>
        </is>
      </c>
      <c r="F41" s="37" t="n"/>
      <c r="G41" s="37" t="inlineStr">
        <is>
          <t>Done</t>
        </is>
      </c>
    </row>
    <row r="42" ht="15" customHeight="1" s="34">
      <c r="A42" s="37" t="inlineStr">
        <is>
          <t>Design house</t>
        </is>
      </c>
      <c r="B42" s="37" t="inlineStr">
        <is>
          <t>Designer cost</t>
        </is>
      </c>
      <c r="C42" s="38" t="n">
        <v>4000</v>
      </c>
      <c r="D42" s="37" t="inlineStr">
        <is>
          <t>Out</t>
        </is>
      </c>
      <c r="E42" s="37" t="inlineStr">
        <is>
          <t>Designer cost</t>
        </is>
      </c>
      <c r="F42" s="37" t="n"/>
      <c r="G42" s="37" t="inlineStr">
        <is>
          <t>Done</t>
        </is>
      </c>
    </row>
    <row r="43" ht="15" customHeight="1" s="34">
      <c r="A43" s="37" t="inlineStr">
        <is>
          <t>Design house</t>
        </is>
      </c>
      <c r="B43" s="37" t="inlineStr">
        <is>
          <t>Designer cost</t>
        </is>
      </c>
      <c r="C43" s="38" t="n">
        <v>4500</v>
      </c>
      <c r="D43" s="37" t="inlineStr">
        <is>
          <t>Out</t>
        </is>
      </c>
      <c r="E43" s="37" t="inlineStr">
        <is>
          <t>Designer cost</t>
        </is>
      </c>
      <c r="F43" s="37" t="n"/>
      <c r="G43" s="37" t="inlineStr">
        <is>
          <t>Done</t>
        </is>
      </c>
    </row>
    <row r="44" ht="15" customHeight="1" s="34">
      <c r="A44" s="37" t="inlineStr">
        <is>
          <t>Design house</t>
        </is>
      </c>
      <c r="B44" s="37" t="inlineStr">
        <is>
          <t>Designer cost</t>
        </is>
      </c>
      <c r="C44" s="38" t="n">
        <v>4500</v>
      </c>
      <c r="D44" s="37" t="inlineStr">
        <is>
          <t>Out</t>
        </is>
      </c>
      <c r="E44" s="37" t="inlineStr">
        <is>
          <t>Designer cost</t>
        </is>
      </c>
      <c r="F44" s="37" t="n"/>
      <c r="G44" s="37" t="inlineStr">
        <is>
          <t>Done</t>
        </is>
      </c>
    </row>
    <row r="45" ht="15" customHeight="1" s="34">
      <c r="A45" s="37" t="inlineStr">
        <is>
          <t>Design house</t>
        </is>
      </c>
      <c r="B45" s="37" t="inlineStr">
        <is>
          <t>Designer cost</t>
        </is>
      </c>
      <c r="C45" s="38" t="n">
        <v>2000</v>
      </c>
      <c r="D45" s="37" t="inlineStr">
        <is>
          <t>Out</t>
        </is>
      </c>
      <c r="E45" s="37" t="inlineStr">
        <is>
          <t>Designer cost</t>
        </is>
      </c>
      <c r="F45" s="37" t="n"/>
      <c r="G45" s="37" t="inlineStr">
        <is>
          <t>Done</t>
        </is>
      </c>
    </row>
    <row r="46" ht="15" customHeight="1" s="34">
      <c r="A46" s="37" t="inlineStr">
        <is>
          <t>Design house</t>
        </is>
      </c>
      <c r="B46" s="37" t="inlineStr">
        <is>
          <t>Designer cost</t>
        </is>
      </c>
      <c r="C46" s="38" t="n">
        <v>1000</v>
      </c>
      <c r="D46" s="37" t="inlineStr">
        <is>
          <t>Out</t>
        </is>
      </c>
      <c r="E46" s="37" t="inlineStr">
        <is>
          <t>Designer cost</t>
        </is>
      </c>
      <c r="F46" s="37" t="n"/>
      <c r="G46" s="37" t="inlineStr">
        <is>
          <t>Done</t>
        </is>
      </c>
    </row>
    <row r="47" ht="15" customHeight="1" s="34">
      <c r="A47" s="37" t="inlineStr">
        <is>
          <t>Partner withdrawals</t>
        </is>
      </c>
      <c r="B47" s="37" t="inlineStr">
        <is>
          <t>Withdrawal</t>
        </is>
      </c>
      <c r="C47" s="38" t="n">
        <v>4000</v>
      </c>
      <c r="D47" s="37" t="inlineStr">
        <is>
          <t>Out</t>
        </is>
      </c>
      <c r="E47" s="37" t="inlineStr">
        <is>
          <t>Partner withdrawal</t>
        </is>
      </c>
      <c r="F47" s="37" t="inlineStr">
        <is>
          <t>Sayyed</t>
        </is>
      </c>
      <c r="G47" s="37" t="inlineStr">
        <is>
          <t>Done</t>
        </is>
      </c>
    </row>
    <row r="48" ht="15" customHeight="1" s="34">
      <c r="A48" s="37" t="inlineStr">
        <is>
          <t>Partner withdrawals</t>
        </is>
      </c>
      <c r="B48" s="37" t="inlineStr">
        <is>
          <t>Withdrawal</t>
        </is>
      </c>
      <c r="C48" s="38" t="n">
        <v>20000</v>
      </c>
      <c r="D48" s="37" t="inlineStr">
        <is>
          <t>Out</t>
        </is>
      </c>
      <c r="E48" s="37" t="inlineStr">
        <is>
          <t>Partner withdrawal</t>
        </is>
      </c>
      <c r="F48" s="37" t="inlineStr">
        <is>
          <t>Retro</t>
        </is>
      </c>
      <c r="G48" s="37" t="inlineStr">
        <is>
          <t>Done</t>
        </is>
      </c>
    </row>
    <row r="49" ht="15" customHeight="1" s="34">
      <c r="A49" s="37" t="inlineStr">
        <is>
          <t>Partner withdrawals</t>
        </is>
      </c>
      <c r="B49" s="37" t="inlineStr">
        <is>
          <t>Withdrawal</t>
        </is>
      </c>
      <c r="C49" s="38" t="n">
        <v>8000</v>
      </c>
      <c r="D49" s="37" t="inlineStr">
        <is>
          <t>Out</t>
        </is>
      </c>
      <c r="E49" s="37" t="inlineStr">
        <is>
          <t>Partner withdrawal</t>
        </is>
      </c>
      <c r="F49" s="37" t="inlineStr">
        <is>
          <t>Badr</t>
        </is>
      </c>
      <c r="G49" s="37" t="inlineStr">
        <is>
          <t>Done</t>
        </is>
      </c>
    </row>
    <row r="50" ht="15" customHeight="1" s="34">
      <c r="A50" s="37" t="inlineStr">
        <is>
          <t>Partner withdrawals</t>
        </is>
      </c>
      <c r="B50" s="37" t="inlineStr">
        <is>
          <t>Withdrawal</t>
        </is>
      </c>
      <c r="C50" s="38" t="n">
        <v>30000</v>
      </c>
      <c r="D50" s="37" t="inlineStr">
        <is>
          <t>Out</t>
        </is>
      </c>
      <c r="E50" s="37" t="inlineStr">
        <is>
          <t>Partner withdrawal</t>
        </is>
      </c>
      <c r="F50" s="37" t="inlineStr">
        <is>
          <t>Retro</t>
        </is>
      </c>
      <c r="G50" s="37" t="inlineStr">
        <is>
          <t>Done</t>
        </is>
      </c>
    </row>
    <row r="51" ht="15" customHeight="1" s="34">
      <c r="A51" s="37" t="inlineStr">
        <is>
          <t>Partner withdrawals</t>
        </is>
      </c>
      <c r="B51" s="37" t="inlineStr">
        <is>
          <t>Withdrawal</t>
        </is>
      </c>
      <c r="C51" s="38" t="n">
        <v>3000</v>
      </c>
      <c r="D51" s="37" t="inlineStr">
        <is>
          <t>Out</t>
        </is>
      </c>
      <c r="E51" s="37" t="inlineStr">
        <is>
          <t>Partner withdrawal</t>
        </is>
      </c>
      <c r="F51" s="37" t="inlineStr">
        <is>
          <t>Sayyed</t>
        </is>
      </c>
      <c r="G51" s="37" t="inlineStr">
        <is>
          <t>Done</t>
        </is>
      </c>
    </row>
    <row r="52" ht="15" customHeight="1" s="34">
      <c r="A52" s="37" t="inlineStr">
        <is>
          <t>Partner withdrawals</t>
        </is>
      </c>
      <c r="B52" s="37" t="inlineStr">
        <is>
          <t>Withdrawal</t>
        </is>
      </c>
      <c r="C52" s="38" t="n">
        <v>2000</v>
      </c>
      <c r="D52" s="37" t="inlineStr">
        <is>
          <t>Out</t>
        </is>
      </c>
      <c r="E52" s="37" t="inlineStr">
        <is>
          <t>Partner withdrawal</t>
        </is>
      </c>
      <c r="F52" s="37" t="inlineStr">
        <is>
          <t>Badr</t>
        </is>
      </c>
      <c r="G52" s="37" t="inlineStr">
        <is>
          <t>Done</t>
        </is>
      </c>
    </row>
    <row r="53" ht="15" customHeight="1" s="34">
      <c r="A53" s="37" t="inlineStr">
        <is>
          <t>Partner withdrawals</t>
        </is>
      </c>
      <c r="B53" s="37" t="inlineStr">
        <is>
          <t>Withdrawal</t>
        </is>
      </c>
      <c r="C53" s="38" t="n">
        <v>2500</v>
      </c>
      <c r="D53" s="37" t="inlineStr">
        <is>
          <t>Out</t>
        </is>
      </c>
      <c r="E53" s="37" t="inlineStr">
        <is>
          <t>Partner withdrawal</t>
        </is>
      </c>
      <c r="F53" s="37" t="inlineStr">
        <is>
          <t>Retro</t>
        </is>
      </c>
      <c r="G53" s="37" t="inlineStr">
        <is>
          <t>Done</t>
        </is>
      </c>
    </row>
  </sheetData>
  <autoFilter ref="A1:G53"/>
  <dataValidations count="2">
    <dataValidation sqref="G2:G200" showDropDown="0" showInputMessage="0" showErrorMessage="0" allowBlank="0" type="list" errorStyle="stop" operator="between">
      <formula1>"Done,Expected"</formula1>
      <formula2>0</formula2>
    </dataValidation>
    <dataValidation sqref="E2:E200" showDropDown="0" showInputMessage="0" showErrorMessage="0" allowBlank="0" type="list" errorStyle="stop" operator="between">
      <formula1>"Camp income,Design house income,Camp cost,Designer cost,Partner withdrawal"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4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33" min="1" max="1"/>
    <col width="14" customWidth="1" style="33" min="2" max="2"/>
    <col width="16" customWidth="1" style="33" min="3" max="4"/>
    <col width="60" customWidth="1" style="33" min="5" max="5"/>
  </cols>
  <sheetData>
    <row r="1" ht="17.35" customHeight="1" s="34">
      <c r="A1" s="40" t="n"/>
    </row>
    <row r="3" ht="31.5" customHeight="1" s="34">
      <c r="A3" s="41" t="inlineStr">
        <is>
          <t>Holder</t>
        </is>
      </c>
      <c r="B3" s="41" t="inlineStr">
        <is>
          <t>Old split: Camp income</t>
        </is>
      </c>
      <c r="C3" s="41" t="inlineStr">
        <is>
          <t>Old split: design house income</t>
        </is>
      </c>
      <c r="D3" s="41" t="inlineStr">
        <is>
          <t>New split (from close)</t>
        </is>
      </c>
      <c r="E3" s="41" t="n"/>
    </row>
    <row r="4" ht="15" customHeight="1" s="34">
      <c r="A4" s="37" t="inlineStr">
        <is>
          <t>Badr</t>
        </is>
      </c>
      <c r="B4" s="42" t="n">
        <v>0.3</v>
      </c>
      <c r="C4" s="42" t="n">
        <v>0.25</v>
      </c>
      <c r="D4" s="42" t="n">
        <v>0.25</v>
      </c>
      <c r="E4" s="39" t="n"/>
    </row>
    <row r="5" ht="15" customHeight="1" s="34">
      <c r="A5" s="37" t="inlineStr">
        <is>
          <t>Sayyed</t>
        </is>
      </c>
      <c r="B5" s="42" t="n">
        <v>0.2</v>
      </c>
      <c r="C5" s="42" t="n">
        <v>0.25</v>
      </c>
      <c r="D5" s="42" t="n">
        <v>0.25</v>
      </c>
      <c r="E5" s="39" t="n"/>
    </row>
    <row r="6" ht="15" customHeight="1" s="34">
      <c r="A6" s="37" t="inlineStr">
        <is>
          <t>Retro</t>
        </is>
      </c>
      <c r="B6" s="42" t="n">
        <v>0.15</v>
      </c>
      <c r="C6" s="42" t="n">
        <v>0.15</v>
      </c>
      <c r="D6" s="42" t="n">
        <v>0.25</v>
      </c>
    </row>
    <row r="7" ht="15" customHeight="1" s="34">
      <c r="A7" s="37" t="inlineStr">
        <is>
          <t>Mo</t>
        </is>
      </c>
      <c r="B7" s="42" t="n">
        <v>0.15</v>
      </c>
      <c r="C7" s="42" t="n">
        <v>0.15</v>
      </c>
      <c r="D7" s="42" t="n">
        <v>0.25</v>
      </c>
    </row>
    <row r="8" ht="15" customHeight="1" s="34">
      <c r="A8" s="37" t="inlineStr">
        <is>
          <t>Capital</t>
        </is>
      </c>
      <c r="B8" s="42" t="n">
        <v>0.2</v>
      </c>
      <c r="C8" s="42" t="n">
        <v>0.2</v>
      </c>
      <c r="D8" s="42" t="n">
        <v>0</v>
      </c>
      <c r="E8" s="39" t="n"/>
    </row>
    <row r="9" ht="15" customHeight="1" s="34">
      <c r="A9" s="36" t="inlineStr">
        <is>
          <t>Total</t>
        </is>
      </c>
      <c r="B9" s="43">
        <f>SUM(B4:B8)</f>
        <v/>
      </c>
      <c r="C9" s="43">
        <f>SUM(C4:C8)</f>
        <v/>
      </c>
      <c r="D9" s="43">
        <f>SUM(D4:D8)</f>
        <v/>
      </c>
    </row>
    <row r="11" ht="15" customHeight="1" s="34">
      <c r="A11" s="36" t="inlineStr">
        <is>
          <t>Inputs</t>
        </is>
      </c>
    </row>
    <row r="12" ht="15" customHeight="1" s="34">
      <c r="A12" s="36" t="inlineStr">
        <is>
          <t>Fixed costs per month, working figure (EGP)</t>
        </is>
      </c>
      <c r="B12" s="44" t="n">
        <v>11500</v>
      </c>
      <c r="E12" s="39" t="n"/>
    </row>
    <row r="13" ht="15" customHeight="1" s="34">
      <c r="A13" s="37" t="inlineStr">
        <is>
          <t>Freelance Ready seat price (EGP)</t>
        </is>
      </c>
      <c r="B13" s="45" t="n">
        <v>9000</v>
      </c>
      <c r="E13" s="39" t="n"/>
    </row>
    <row r="14" ht="15" customHeight="1" s="34">
      <c r="A14" s="37" t="inlineStr">
        <is>
          <t>Cash reserve target (months of fixed costs)</t>
        </is>
      </c>
      <c r="B14" s="46" t="n">
        <v>2</v>
      </c>
      <c r="E14" s="39" t="n"/>
    </row>
    <row r="15" ht="15" customHeight="1" s="34">
      <c r="A15" s="37" t="inlineStr">
        <is>
          <t>Cash reserve target (EGP)</t>
        </is>
      </c>
      <c r="B15" s="47" t="n">
        <v>23000</v>
      </c>
    </row>
    <row r="16" ht="15" customHeight="1" s="34">
      <c r="A16" s="37" t="inlineStr">
        <is>
          <t>Tier 1 partner salary pool per month (EGP)</t>
        </is>
      </c>
      <c r="B16" s="47">
        <f>B38</f>
        <v/>
      </c>
      <c r="E16" s="39" t="n"/>
    </row>
    <row r="17" ht="15" customHeight="1" s="34">
      <c r="A17" s="37" t="inlineStr">
        <is>
          <t>Number of partners</t>
        </is>
      </c>
      <c r="B17" s="46" t="n">
        <v>4</v>
      </c>
      <c r="E17" s="39" t="n"/>
    </row>
    <row r="18" ht="15" customHeight="1" s="34">
      <c r="A18" s="36" t="inlineStr">
        <is>
          <t>Derived</t>
        </is>
      </c>
    </row>
    <row r="19" ht="15" customHeight="1" s="34">
      <c r="A19" s="37" t="inlineStr">
        <is>
          <t>Break-even, current rule (EGP a month)</t>
        </is>
      </c>
      <c r="B19" s="47">
        <f>B12/B8</f>
        <v/>
      </c>
      <c r="E19" s="39" t="n"/>
    </row>
    <row r="20" ht="15" customHeight="1" s="34">
      <c r="A20" s="37" t="inlineStr">
        <is>
          <t xml:space="preserve">  full-price seats a month</t>
        </is>
      </c>
      <c r="B20" s="48">
        <f>B19/B13</f>
        <v/>
      </c>
      <c r="E20" s="39" t="n"/>
    </row>
    <row r="21" ht="15" customHeight="1" s="34">
      <c r="A21" s="37" t="inlineStr">
        <is>
          <t>Break-even, costs paid first (EGP a month)</t>
        </is>
      </c>
      <c r="B21" s="47">
        <f>B12</f>
        <v/>
      </c>
      <c r="E21" s="39" t="n"/>
    </row>
    <row r="22" ht="15" customHeight="1" s="34">
      <c r="A22" s="37" t="inlineStr">
        <is>
          <t xml:space="preserve">  full-price seats a month</t>
        </is>
      </c>
      <c r="B22" s="48">
        <f>B21/B13</f>
        <v/>
      </c>
      <c r="E22" s="39" t="n"/>
    </row>
    <row r="24" ht="15" customHeight="1" s="34">
      <c r="A24" s="36" t="inlineStr">
        <is>
          <t>Fixed cost build-up (monthly, EGP)</t>
        </is>
      </c>
    </row>
    <row r="25" ht="15" customHeight="1" s="34">
      <c r="A25" s="37" t="inlineStr">
        <is>
          <t>Salaries</t>
        </is>
      </c>
      <c r="B25" s="45" t="n">
        <v>5000</v>
      </c>
      <c r="E25" s="39" t="n"/>
    </row>
    <row r="26" ht="15" customHeight="1" s="34">
      <c r="A26" s="37" t="inlineStr">
        <is>
          <t>Editor: low</t>
        </is>
      </c>
      <c r="B26" s="45" t="n">
        <v>4000</v>
      </c>
      <c r="E26" s="39" t="n"/>
    </row>
    <row r="27" ht="15" customHeight="1" s="34">
      <c r="A27" s="37" t="inlineStr">
        <is>
          <t>Editor: high</t>
        </is>
      </c>
      <c r="B27" s="45" t="n">
        <v>6000</v>
      </c>
      <c r="E27" s="39" t="n"/>
    </row>
    <row r="28" ht="15" customHeight="1" s="34">
      <c r="A28" s="37" t="inlineStr">
        <is>
          <t>Editor: used (midpoint)</t>
        </is>
      </c>
      <c r="B28" s="47" t="n">
        <v>5000</v>
      </c>
    </row>
    <row r="29" ht="15" customHeight="1" s="34">
      <c r="A29" s="37" t="inlineStr">
        <is>
          <t>Software subscriptions</t>
        </is>
      </c>
      <c r="B29" s="45" t="n">
        <v>1000</v>
      </c>
      <c r="E29" s="39" t="n"/>
    </row>
    <row r="30" ht="15" customHeight="1" s="34">
      <c r="A30" s="37" t="inlineStr">
        <is>
          <t>Ads tools</t>
        </is>
      </c>
      <c r="B30" s="45" t="n">
        <v>500</v>
      </c>
      <c r="E30" s="39" t="n"/>
    </row>
    <row r="31" ht="15" customHeight="1" s="34">
      <c r="A31" s="37" t="inlineStr">
        <is>
          <t>Fixed costs, low case</t>
        </is>
      </c>
      <c r="B31" s="47">
        <f>B25+B26+B29+B30</f>
        <v/>
      </c>
    </row>
    <row r="32" ht="15" customHeight="1" s="34">
      <c r="A32" s="37" t="inlineStr">
        <is>
          <t>Fixed costs, high case</t>
        </is>
      </c>
      <c r="B32" s="47">
        <f>B25+B27+B29+B30</f>
        <v/>
      </c>
    </row>
    <row r="33" ht="15" customHeight="1" s="34">
      <c r="A33" s="37" t="inlineStr">
        <is>
          <t>Reserve target, low case (EGP)</t>
        </is>
      </c>
      <c r="B33" s="47">
        <f>B31*B14</f>
        <v/>
      </c>
    </row>
    <row r="34" ht="15" customHeight="1" s="34">
      <c r="A34" s="37" t="inlineStr">
        <is>
          <t>Reserve target, high case (EGP)</t>
        </is>
      </c>
      <c r="B34" s="47">
        <f>B32*B14</f>
        <v/>
      </c>
    </row>
    <row r="36" ht="15" customHeight="1" s="34">
      <c r="A36" s="36" t="inlineStr">
        <is>
          <t>Partner salary tiers</t>
        </is>
      </c>
    </row>
    <row r="37" ht="31.5" customHeight="1" s="34">
      <c r="A37" s="49" t="inlineStr">
        <is>
          <t>Tier</t>
        </is>
      </c>
      <c r="B37" s="49" t="inlineStr">
        <is>
          <t>Pool per month (EGP)</t>
        </is>
      </c>
      <c r="C37" s="49" t="inlineStr">
        <is>
          <t>Trigger: monthly collected income (EGP)</t>
        </is>
      </c>
    </row>
    <row r="38" ht="15" customHeight="1" s="34">
      <c r="A38" s="37" t="inlineStr">
        <is>
          <t>Tier 1</t>
        </is>
      </c>
      <c r="B38" s="45" t="n">
        <v>10000</v>
      </c>
      <c r="C38" s="47">
        <f>ROUND((B12+B38)*1.25/5000,0)*5000</f>
        <v/>
      </c>
      <c r="E38" s="39" t="n"/>
    </row>
    <row r="39" ht="15" customHeight="1" s="34">
      <c r="A39" s="37" t="inlineStr">
        <is>
          <t>Tier 2</t>
        </is>
      </c>
      <c r="B39" s="45" t="n">
        <v>20000</v>
      </c>
      <c r="C39" s="47">
        <f>ROUND((B12+B39)*1.25/5000,0)*5000</f>
        <v/>
      </c>
    </row>
    <row r="40" ht="15" customHeight="1" s="34">
      <c r="A40" s="37" t="inlineStr">
        <is>
          <t>Tier 3</t>
        </is>
      </c>
      <c r="B40" s="45" t="n">
        <v>30000</v>
      </c>
      <c r="C40" s="47">
        <f>ROUND((B12+B40)*1.25/5000,0)*5000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33" min="1" max="1"/>
    <col width="22" customWidth="1" style="33" min="2" max="3"/>
  </cols>
  <sheetData>
    <row r="1" ht="17.35" customHeight="1" s="34">
      <c r="A1" s="40" t="n"/>
    </row>
    <row r="2" ht="15" customHeight="1" s="34">
      <c r="A2" s="39" t="n"/>
    </row>
    <row r="3"/>
    <row r="4" ht="15" customHeight="1" s="34">
      <c r="A4" s="35" t="n"/>
      <c r="B4" s="35" t="n"/>
      <c r="C4" s="35" t="n"/>
    </row>
    <row r="5" ht="15" customHeight="1" s="34">
      <c r="A5" s="37" t="n"/>
      <c r="B5" s="47">
        <f>SUMIFS(Ledger!$C$2:$C$200,Ledger!$E$2:$E$200,"Camp income",Ledger!$G$2:$G$200,"Done")</f>
        <v/>
      </c>
      <c r="C5" s="47">
        <f>SUMIFS(Ledger!$C$2:$C$200,Ledger!$E$2:$E$200,"Camp income")</f>
        <v/>
      </c>
    </row>
    <row r="6" ht="15" customHeight="1" s="34">
      <c r="A6" s="37" t="n"/>
      <c r="B6" s="47">
        <f>SUMIFS(Ledger!$C$2:$C$200,Ledger!$E$2:$E$200,"Design house income",Ledger!$G$2:$G$200,"Done")</f>
        <v/>
      </c>
      <c r="C6" s="47">
        <f>SUMIFS(Ledger!$C$2:$C$200,Ledger!$E$2:$E$200,"Design house income")</f>
        <v/>
      </c>
    </row>
    <row r="7" ht="15" customHeight="1" s="34">
      <c r="A7" s="50" t="n"/>
      <c r="B7" s="51">
        <f>B5+B6</f>
        <v/>
      </c>
      <c r="C7" s="51">
        <f>C5+C6</f>
        <v/>
      </c>
    </row>
    <row r="8" ht="15" customHeight="1" s="34">
      <c r="A8" s="37" t="n"/>
      <c r="B8" s="47">
        <f>SUMIFS(Ledger!$C$2:$C$200,Ledger!$E$2:$E$200,"Camp cost",Ledger!$G$2:$G$200,"Done")</f>
        <v/>
      </c>
      <c r="C8" s="47">
        <f>SUMIFS(Ledger!$C$2:$C$200,Ledger!$E$2:$E$200,"Camp cost")</f>
        <v/>
      </c>
    </row>
    <row r="9" ht="15" customHeight="1" s="34">
      <c r="A9" s="37" t="n"/>
      <c r="B9" s="47">
        <f>SUMIFS(Ledger!$C$2:$C$200,Ledger!$E$2:$E$200,"Designer cost",Ledger!$G$2:$G$200,"Done")</f>
        <v/>
      </c>
      <c r="C9" s="47">
        <f>SUMIFS(Ledger!$C$2:$C$200,Ledger!$E$2:$E$200,"Designer cost")</f>
        <v/>
      </c>
    </row>
    <row r="10" ht="15" customHeight="1" s="34">
      <c r="A10" s="50" t="n"/>
      <c r="B10" s="51">
        <f>B8+B9</f>
        <v/>
      </c>
      <c r="C10" s="51">
        <f>C8+C9</f>
        <v/>
      </c>
    </row>
    <row r="11" ht="15" customHeight="1" s="34">
      <c r="A11" s="37" t="n"/>
      <c r="B11" s="47">
        <f>SUMIFS(Ledger!$C$2:$C$200,Ledger!$E$2:$E$200,"Partner withdrawal",Ledger!$G$2:$G$200,"Done")</f>
        <v/>
      </c>
      <c r="C11" s="47">
        <f>SUMIFS(Ledger!$C$2:$C$200,Ledger!$E$2:$E$200,"Partner withdrawal")</f>
        <v/>
      </c>
    </row>
    <row r="12" ht="15" customHeight="1" s="34">
      <c r="A12" s="50" t="inlineStr">
        <is>
          <t>Cash in the business</t>
        </is>
      </c>
      <c r="B12" s="51" t="n">
        <v>78900</v>
      </c>
      <c r="C12" s="51" t="n">
        <v>65400</v>
      </c>
    </row>
    <row r="13"/>
    <row r="14" ht="15" customHeight="1" s="34">
      <c r="A14" s="37" t="n"/>
      <c r="B14" s="52">
        <f>B6/B7</f>
        <v/>
      </c>
      <c r="C14" s="52">
        <f>C6/C7</f>
        <v/>
      </c>
    </row>
    <row r="15" ht="15" customHeight="1" s="34">
      <c r="A15" s="37" t="n"/>
      <c r="B15" s="52">
        <f>(B6-B9)/B6</f>
        <v/>
      </c>
      <c r="C15" s="52">
        <f>(C6-C9)/C6</f>
        <v/>
      </c>
    </row>
    <row r="16" ht="15" customHeight="1" s="34">
      <c r="A16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8" customWidth="1" style="33" min="1" max="1"/>
    <col width="10" customWidth="1" style="33" min="2" max="2"/>
    <col width="9" customWidth="1" style="33" min="3" max="7"/>
    <col width="13" customWidth="1" style="33" min="8" max="9"/>
    <col width="24" customWidth="1" style="33" min="10" max="10"/>
    <col width="42" customWidth="1" style="33" min="11" max="11"/>
  </cols>
  <sheetData>
    <row r="1" ht="17.35" customHeight="1" s="34">
      <c r="A1" s="40" t="n"/>
    </row>
    <row r="2" ht="15" customHeight="1" s="34">
      <c r="A2" s="39" t="n"/>
    </row>
    <row r="4" ht="31.5" customHeight="1" s="34">
      <c r="A4" s="41" t="inlineStr">
        <is>
          <t>Function</t>
        </is>
      </c>
      <c r="B4" s="41" t="inlineStr">
        <is>
          <t>Applies to</t>
        </is>
      </c>
      <c r="C4" s="41" t="inlineStr">
        <is>
          <t>Weight</t>
        </is>
      </c>
      <c r="D4" s="41" t="inlineStr">
        <is>
          <t>Badr</t>
        </is>
      </c>
      <c r="E4" s="41" t="inlineStr">
        <is>
          <t>Sayyed</t>
        </is>
      </c>
      <c r="F4" s="41" t="inlineStr">
        <is>
          <t>Retro</t>
        </is>
      </c>
      <c r="G4" s="41" t="inlineStr">
        <is>
          <t>Mo</t>
        </is>
      </c>
      <c r="H4" s="41" t="inlineStr">
        <is>
          <t>Accountable count</t>
        </is>
      </c>
      <c r="I4" s="41" t="inlineStr">
        <is>
          <t>Supporting count</t>
        </is>
      </c>
      <c r="J4" s="41" t="inlineStr">
        <is>
          <t>Check</t>
        </is>
      </c>
      <c r="K4" s="41" t="inlineStr">
        <is>
          <t>Staff and contractors</t>
        </is>
      </c>
    </row>
    <row r="5" ht="15" customHeight="1" s="34">
      <c r="A5" s="37" t="inlineStr">
        <is>
          <t>Function one</t>
        </is>
      </c>
      <c r="B5" s="37" t="inlineStr">
        <is>
          <t>Both</t>
        </is>
      </c>
      <c r="C5" s="58" t="n">
        <v>1</v>
      </c>
      <c r="D5" s="58" t="inlineStr">
        <is>
          <t>A</t>
        </is>
      </c>
      <c r="E5" s="58" t="n"/>
      <c r="F5" s="58" t="n"/>
      <c r="G5" s="58" t="n"/>
      <c r="H5" s="59" t="n"/>
      <c r="I5" s="59" t="n"/>
      <c r="J5" s="59" t="n"/>
      <c r="K5" s="60" t="inlineStr">
        <is>
          <t>Contractors</t>
        </is>
      </c>
    </row>
    <row r="6" ht="15" customHeight="1" s="34">
      <c r="A6" s="37" t="inlineStr">
        <is>
          <t>Function two</t>
        </is>
      </c>
      <c r="B6" s="37" t="inlineStr">
        <is>
          <t>Both</t>
        </is>
      </c>
      <c r="C6" s="58" t="n">
        <v>1</v>
      </c>
      <c r="D6" s="58" t="n"/>
      <c r="E6" s="58" t="inlineStr">
        <is>
          <t>A</t>
        </is>
      </c>
      <c r="F6" s="58" t="inlineStr">
        <is>
          <t>S</t>
        </is>
      </c>
      <c r="G6" s="58" t="n"/>
      <c r="H6" s="59" t="n"/>
      <c r="I6" s="59" t="n"/>
      <c r="J6" s="59" t="n"/>
      <c r="K6" s="60" t="n"/>
    </row>
    <row r="7" ht="15" customHeight="1" s="34">
      <c r="A7" s="37" t="inlineStr">
        <is>
          <t>Function three</t>
        </is>
      </c>
      <c r="B7" s="37" t="inlineStr">
        <is>
          <t>Core</t>
        </is>
      </c>
      <c r="C7" s="58" t="n">
        <v>1</v>
      </c>
      <c r="D7" s="58" t="inlineStr">
        <is>
          <t>S</t>
        </is>
      </c>
      <c r="E7" s="58" t="n"/>
      <c r="F7" s="58" t="inlineStr">
        <is>
          <t>A</t>
        </is>
      </c>
      <c r="G7" s="58" t="n"/>
      <c r="H7" s="59" t="n"/>
      <c r="I7" s="59" t="n"/>
      <c r="J7" s="59" t="n"/>
      <c r="K7" s="60" t="n"/>
    </row>
    <row r="8" ht="15" customHeight="1" s="34">
      <c r="A8" s="37" t="inlineStr">
        <is>
          <t>Function four</t>
        </is>
      </c>
      <c r="B8" s="37" t="inlineStr">
        <is>
          <t>Camp</t>
        </is>
      </c>
      <c r="C8" s="58" t="n">
        <v>1</v>
      </c>
      <c r="D8" s="58" t="n"/>
      <c r="E8" s="58" t="n"/>
      <c r="F8" s="58" t="n"/>
      <c r="G8" s="58" t="inlineStr">
        <is>
          <t>A</t>
        </is>
      </c>
      <c r="H8" s="59" t="n"/>
      <c r="I8" s="59" t="n"/>
      <c r="J8" s="59" t="n"/>
      <c r="K8" s="60" t="inlineStr">
        <is>
          <t>Contractors</t>
        </is>
      </c>
    </row>
    <row r="9" ht="15" customHeight="1" s="34">
      <c r="A9" s="37" t="inlineStr">
        <is>
          <t>Function five</t>
        </is>
      </c>
      <c r="B9" s="37" t="inlineStr">
        <is>
          <t>Both</t>
        </is>
      </c>
      <c r="C9" s="58" t="n">
        <v>1</v>
      </c>
      <c r="D9" s="58" t="inlineStr">
        <is>
          <t>A</t>
        </is>
      </c>
      <c r="E9" s="58" t="inlineStr">
        <is>
          <t>S</t>
        </is>
      </c>
      <c r="F9" s="58" t="n"/>
      <c r="G9" s="58" t="n"/>
      <c r="H9" s="59" t="n"/>
      <c r="I9" s="59" t="n"/>
      <c r="J9" s="59" t="n"/>
      <c r="K9" s="60" t="n"/>
    </row>
    <row r="10" ht="15" customHeight="1" s="34">
      <c r="A10" s="37" t="inlineStr">
        <is>
          <t>Function six</t>
        </is>
      </c>
      <c r="B10" s="37" t="inlineStr">
        <is>
          <t>Core</t>
        </is>
      </c>
      <c r="C10" s="58" t="n">
        <v>0.5</v>
      </c>
      <c r="D10" s="58" t="n"/>
      <c r="E10" s="58" t="inlineStr">
        <is>
          <t>A</t>
        </is>
      </c>
      <c r="F10" s="58" t="n"/>
      <c r="G10" s="58" t="inlineStr">
        <is>
          <t>S</t>
        </is>
      </c>
      <c r="H10" s="59" t="n"/>
      <c r="I10" s="59" t="n"/>
      <c r="J10" s="59" t="n"/>
      <c r="K10" s="60" t="n"/>
    </row>
    <row r="11" ht="15" customHeight="1" s="34">
      <c r="A11" s="37" t="inlineStr">
        <is>
          <t>Function seven</t>
        </is>
      </c>
      <c r="B11" s="37" t="inlineStr">
        <is>
          <t>Core</t>
        </is>
      </c>
      <c r="C11" s="58" t="n">
        <v>0.5</v>
      </c>
      <c r="D11" s="58" t="n"/>
      <c r="E11" s="58" t="inlineStr">
        <is>
          <t>S</t>
        </is>
      </c>
      <c r="F11" s="58" t="inlineStr">
        <is>
          <t>A</t>
        </is>
      </c>
      <c r="G11" s="58" t="n"/>
      <c r="H11" s="59" t="n"/>
      <c r="I11" s="59" t="n"/>
      <c r="J11" s="59" t="n"/>
      <c r="K11" s="60" t="inlineStr">
        <is>
          <t>Contractors</t>
        </is>
      </c>
    </row>
    <row r="12" ht="15" customHeight="1" s="34">
      <c r="A12" s="37" t="inlineStr">
        <is>
          <t>Function eight</t>
        </is>
      </c>
      <c r="B12" s="37" t="inlineStr">
        <is>
          <t>Both</t>
        </is>
      </c>
      <c r="C12" s="58" t="n">
        <v>1</v>
      </c>
      <c r="D12" s="58" t="n"/>
      <c r="E12" s="58" t="inlineStr">
        <is>
          <t>A</t>
        </is>
      </c>
      <c r="F12" s="58" t="n"/>
      <c r="G12" s="58" t="n"/>
      <c r="H12" s="59" t="n"/>
      <c r="I12" s="59" t="n"/>
      <c r="J12" s="59" t="n"/>
      <c r="K12" s="60" t="n"/>
    </row>
    <row r="13" ht="15" customHeight="1" s="34">
      <c r="A13" s="37" t="inlineStr">
        <is>
          <t>Function nine</t>
        </is>
      </c>
      <c r="B13" s="37" t="inlineStr">
        <is>
          <t>Both</t>
        </is>
      </c>
      <c r="C13" s="58" t="n">
        <v>1</v>
      </c>
      <c r="D13" s="58" t="n"/>
      <c r="E13" s="58" t="n"/>
      <c r="F13" s="58" t="inlineStr">
        <is>
          <t>A</t>
        </is>
      </c>
      <c r="G13" s="58" t="n"/>
      <c r="H13" s="59" t="n"/>
      <c r="I13" s="59" t="n"/>
      <c r="J13" s="59" t="n"/>
      <c r="K13" s="60" t="n"/>
    </row>
    <row r="14" ht="15" customHeight="1" s="34">
      <c r="A14" s="37" t="inlineStr">
        <is>
          <t>Function ten</t>
        </is>
      </c>
      <c r="B14" s="37" t="inlineStr">
        <is>
          <t>Both</t>
        </is>
      </c>
      <c r="C14" s="58" t="n">
        <v>1</v>
      </c>
      <c r="D14" s="58" t="n"/>
      <c r="E14" s="58" t="n"/>
      <c r="F14" s="58" t="inlineStr">
        <is>
          <t>A</t>
        </is>
      </c>
      <c r="G14" s="58" t="n"/>
      <c r="H14" s="59" t="n"/>
      <c r="I14" s="59" t="n"/>
      <c r="J14" s="59" t="n"/>
      <c r="K14" s="60" t="inlineStr">
        <is>
          <t>Contractors</t>
        </is>
      </c>
    </row>
    <row r="15" ht="15" customHeight="1" s="34">
      <c r="A15" s="37" t="n"/>
      <c r="B15" s="37" t="n"/>
      <c r="C15" s="58" t="n"/>
      <c r="D15" s="58" t="n"/>
      <c r="E15" s="58" t="n"/>
      <c r="F15" s="58" t="n"/>
      <c r="G15" s="58" t="n"/>
      <c r="H15" s="59" t="n"/>
      <c r="I15" s="59" t="n"/>
      <c r="J15" s="59" t="n"/>
      <c r="K15" s="60" t="n"/>
    </row>
    <row r="16" ht="15" customHeight="1" s="34">
      <c r="A16" s="37" t="n"/>
      <c r="B16" s="37" t="n"/>
      <c r="C16" s="58" t="n"/>
      <c r="D16" s="58" t="n"/>
      <c r="E16" s="58" t="n"/>
      <c r="F16" s="58" t="n"/>
      <c r="G16" s="58" t="n"/>
      <c r="H16" s="59" t="n"/>
      <c r="I16" s="59" t="n"/>
      <c r="J16" s="59" t="n"/>
      <c r="K16" s="60" t="n"/>
    </row>
    <row r="17" ht="15" customHeight="1" s="34">
      <c r="A17" s="37" t="n"/>
      <c r="B17" s="37" t="n"/>
      <c r="C17" s="58" t="n"/>
      <c r="D17" s="58" t="n"/>
      <c r="E17" s="58" t="n"/>
      <c r="F17" s="58" t="n"/>
      <c r="G17" s="58" t="n"/>
      <c r="H17" s="59" t="n"/>
      <c r="I17" s="59" t="n"/>
      <c r="J17" s="59" t="n"/>
      <c r="K17" s="60" t="n"/>
    </row>
    <row r="18" ht="15" customHeight="1" s="34">
      <c r="A18" s="37" t="n"/>
      <c r="B18" s="37" t="n"/>
      <c r="C18" s="58" t="n"/>
      <c r="D18" s="58" t="n"/>
      <c r="E18" s="58" t="n"/>
      <c r="F18" s="58" t="n"/>
      <c r="G18" s="58" t="n"/>
      <c r="H18" s="59" t="n"/>
      <c r="I18" s="59" t="n"/>
      <c r="J18" s="59" t="n"/>
      <c r="K18" s="60" t="n"/>
    </row>
    <row r="19" ht="15" customHeight="1" s="34">
      <c r="A19" s="37" t="n"/>
      <c r="B19" s="37" t="n"/>
      <c r="C19" s="58" t="n"/>
      <c r="D19" s="58" t="n"/>
      <c r="E19" s="58" t="n"/>
      <c r="F19" s="58" t="n"/>
      <c r="G19" s="58" t="n"/>
      <c r="H19" s="59" t="n"/>
      <c r="I19" s="59" t="n"/>
      <c r="J19" s="59" t="n"/>
      <c r="K19" s="60" t="n"/>
    </row>
    <row r="20" ht="15" customHeight="1" s="34">
      <c r="A20" s="36" t="inlineStr">
        <is>
          <t>Accountable per partner (weighted)</t>
        </is>
      </c>
      <c r="D20" s="61">
        <f>SUMPRODUCT((D5:D19="A")*$C5:$C19)</f>
        <v/>
      </c>
      <c r="E20" s="61">
        <f>SUMPRODUCT((E5:E19="A")*$C5:$C19)</f>
        <v/>
      </c>
      <c r="F20" s="61">
        <f>SUMPRODUCT((F5:F19="A")*$C5:$C19)</f>
        <v/>
      </c>
      <c r="G20" s="61">
        <f>SUMPRODUCT((G5:G19="A")*$C5:$C19)</f>
        <v/>
      </c>
    </row>
    <row r="21" ht="15" customHeight="1" s="34">
      <c r="A21" s="36" t="inlineStr">
        <is>
          <t>Supporting per partner (weighted)</t>
        </is>
      </c>
      <c r="D21" s="61">
        <f>SUMPRODUCT((D5:D19="S")*$C5:$C19)</f>
        <v/>
      </c>
      <c r="E21" s="61">
        <f>SUMPRODUCT((E5:E19="S")*$C5:$C19)</f>
        <v/>
      </c>
      <c r="F21" s="61">
        <f>SUMPRODUCT((F5:F19="S")*$C5:$C19)</f>
        <v/>
      </c>
      <c r="G21" s="61">
        <f>SUMPRODUCT((G5:G19="S")*$C5:$C19)</f>
        <v/>
      </c>
    </row>
    <row r="22" ht="15" customHeight="1" s="34">
      <c r="A22" s="36" t="inlineStr">
        <is>
          <t>Total functions per partner (weighted)</t>
        </is>
      </c>
      <c r="D22" s="61">
        <f>D20+D21</f>
        <v/>
      </c>
      <c r="E22" s="61">
        <f>E20+E21</f>
        <v/>
      </c>
      <c r="F22" s="61">
        <f>F20+F21</f>
        <v/>
      </c>
      <c r="G22" s="61">
        <f>G20+G21</f>
        <v/>
      </c>
    </row>
    <row r="24" ht="15" customHeight="1" s="34">
      <c r="A24" s="37" t="inlineStr">
        <is>
          <t>Lines with no accountable partner</t>
        </is>
      </c>
      <c r="H24" s="59">
        <f>COUNTIF(H5:H19,0)</f>
        <v/>
      </c>
    </row>
    <row r="25" ht="15" customHeight="1" s="34">
      <c r="A25" s="37" t="inlineStr">
        <is>
          <t>Lines with more than one accountable partner</t>
        </is>
      </c>
      <c r="H25" s="59">
        <f>COUNTIF(H5:H19,"&gt;1")</f>
        <v/>
      </c>
    </row>
  </sheetData>
  <dataValidations count="1">
    <dataValidation sqref="D5:G19" showDropDown="0" showInputMessage="0" showErrorMessage="0" allowBlank="1" type="list" errorStyle="stop" operator="between">
      <formula1>"A,S"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J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4" customWidth="1" style="33" min="1" max="1"/>
    <col width="15" customWidth="1" style="33" min="2" max="10"/>
  </cols>
  <sheetData>
    <row r="1" ht="17.35" customHeight="1" s="34">
      <c r="A1" s="40" t="n"/>
    </row>
    <row r="2" ht="15" customHeight="1" s="34">
      <c r="A2" s="39" t="n"/>
    </row>
    <row r="3" ht="15" customHeight="1" s="34">
      <c r="A3" s="36" t="inlineStr">
        <is>
          <t>Pool per month, sum of X (EGP)</t>
        </is>
      </c>
      <c r="F3" s="44">
        <f>Assumptions!B38</f>
        <v/>
      </c>
      <c r="G3" s="44">
        <f>Assumptions!B39</f>
        <v/>
      </c>
      <c r="H3" s="44">
        <f>Assumptions!B40</f>
        <v/>
      </c>
    </row>
    <row r="4" ht="31.5" customHeight="1" s="34">
      <c r="A4" s="41" t="inlineStr">
        <is>
          <t>Partner</t>
        </is>
      </c>
      <c r="B4" s="41" t="inlineStr">
        <is>
          <t>Accountable load</t>
        </is>
      </c>
      <c r="C4" s="41" t="inlineStr">
        <is>
          <t>Multiplier</t>
        </is>
      </c>
      <c r="D4" s="41" t="inlineStr">
        <is>
          <t>Weighted load</t>
        </is>
      </c>
      <c r="E4" s="41" t="inlineStr">
        <is>
          <t>Share of pool</t>
        </is>
      </c>
      <c r="F4" s="41" t="inlineStr">
        <is>
          <t>X: Tier 1</t>
        </is>
      </c>
      <c r="G4" s="41" t="inlineStr">
        <is>
          <t>X: Tier 2</t>
        </is>
      </c>
      <c r="H4" s="41" t="inlineStr">
        <is>
          <t>X: Tier 3</t>
        </is>
      </c>
    </row>
    <row r="5" ht="15" customHeight="1" s="34">
      <c r="A5" s="37" t="inlineStr">
        <is>
          <t>Badr</t>
        </is>
      </c>
      <c r="B5" s="62">
        <f>'Function Owners'!D20</f>
        <v/>
      </c>
      <c r="C5" s="63" t="n">
        <v>1</v>
      </c>
      <c r="D5" s="62">
        <f>B5*C5</f>
        <v/>
      </c>
      <c r="E5" s="64">
        <f>D5/$D$9</f>
        <v/>
      </c>
      <c r="F5" s="65">
        <f>ROUND(F$3*$E5,-2)</f>
        <v/>
      </c>
      <c r="G5" s="65">
        <f>ROUND(G$3*$E5,-2)</f>
        <v/>
      </c>
      <c r="H5" s="65">
        <f>ROUND(H$3*$E5,-2)</f>
        <v/>
      </c>
    </row>
    <row r="6" ht="15" customHeight="1" s="34">
      <c r="A6" s="37" t="inlineStr">
        <is>
          <t>Sayyed</t>
        </is>
      </c>
      <c r="B6" s="62">
        <f>'Function Owners'!E20</f>
        <v/>
      </c>
      <c r="C6" s="63" t="n">
        <v>1</v>
      </c>
      <c r="D6" s="62">
        <f>B6*C6</f>
        <v/>
      </c>
      <c r="E6" s="64">
        <f>D6/$D$9</f>
        <v/>
      </c>
      <c r="F6" s="65">
        <f>ROUND(F$3*$E6,-2)</f>
        <v/>
      </c>
      <c r="G6" s="65">
        <f>ROUND(G$3*$E6,-2)</f>
        <v/>
      </c>
      <c r="H6" s="65">
        <f>ROUND(H$3*$E6,-2)</f>
        <v/>
      </c>
    </row>
    <row r="7" ht="15" customHeight="1" s="34">
      <c r="A7" s="37" t="inlineStr">
        <is>
          <t>Retro</t>
        </is>
      </c>
      <c r="B7" s="62">
        <f>'Function Owners'!F20</f>
        <v/>
      </c>
      <c r="C7" s="63" t="n">
        <v>1</v>
      </c>
      <c r="D7" s="62">
        <f>B7*C7</f>
        <v/>
      </c>
      <c r="E7" s="64">
        <f>D7/$D$9</f>
        <v/>
      </c>
      <c r="F7" s="65">
        <f>F$3-F5-F6-F8</f>
        <v/>
      </c>
      <c r="G7" s="65">
        <f>G$3-G5-G6-G8</f>
        <v/>
      </c>
      <c r="H7" s="65">
        <f>H$3-H5-H6-H8</f>
        <v/>
      </c>
    </row>
    <row r="8" ht="15" customHeight="1" s="34">
      <c r="A8" s="37" t="inlineStr">
        <is>
          <t>Mo</t>
        </is>
      </c>
      <c r="B8" s="62">
        <f>'Function Owners'!G20</f>
        <v/>
      </c>
      <c r="C8" s="63" t="n">
        <v>2</v>
      </c>
      <c r="D8" s="62">
        <f>B8*C8</f>
        <v/>
      </c>
      <c r="E8" s="64">
        <f>D8/$D$9</f>
        <v/>
      </c>
      <c r="F8" s="65">
        <f>ROUND(F$3*$E8,-2)</f>
        <v/>
      </c>
      <c r="G8" s="65">
        <f>ROUND(G$3*$E8,-2)</f>
        <v/>
      </c>
      <c r="H8" s="65">
        <f>ROUND(H$3*$E8,-2)</f>
        <v/>
      </c>
    </row>
    <row r="9" ht="15" customHeight="1" s="34">
      <c r="A9" s="50" t="inlineStr">
        <is>
          <t>Total</t>
        </is>
      </c>
      <c r="B9" s="66">
        <f>SUM(B5:B8)</f>
        <v/>
      </c>
      <c r="C9" s="50" t="n"/>
      <c r="D9" s="66">
        <f>SUM(D5:D8)</f>
        <v/>
      </c>
      <c r="E9" s="53">
        <f>SUM(E5:E8)</f>
        <v/>
      </c>
      <c r="F9" s="51">
        <f>SUM(F5:F8)</f>
        <v/>
      </c>
      <c r="G9" s="51">
        <f>SUM(G5:G8)</f>
        <v/>
      </c>
      <c r="H9" s="51">
        <f>SUM(H5:H8)</f>
        <v/>
      </c>
    </row>
    <row r="10" ht="15" customHeight="1" s="34">
      <c r="A10" s="37" t="inlineStr">
        <is>
          <t>Check: X salaries equal the pool</t>
        </is>
      </c>
      <c r="F10" s="37">
        <f>IF(F9=F3,"OK","Check")</f>
        <v/>
      </c>
      <c r="G10" s="37">
        <f>IF(G9=G3,"OK","Check")</f>
        <v/>
      </c>
      <c r="H10" s="37">
        <f>IF(H9=H3,"OK","Check")</f>
        <v/>
      </c>
    </row>
    <row r="11" ht="15" customHeight="1" s="34">
      <c r="A11" s="39" t="n"/>
    </row>
    <row r="12" ht="15" customHeight="1" s="34">
      <c r="A12" s="37" t="inlineStr">
        <is>
          <t>Trigger income (EGP a month)</t>
        </is>
      </c>
      <c r="F12" s="47">
        <f>Assumptions!C38</f>
        <v/>
      </c>
      <c r="G12" s="47">
        <f>Assumptions!C39</f>
        <v/>
      </c>
      <c r="H12" s="47">
        <f>Assumptions!C40</f>
        <v/>
      </c>
    </row>
    <row r="14" ht="15" customHeight="1" s="34">
      <c r="A14" s="36" t="inlineStr">
        <is>
          <t>Base and KPI pay by tier (EGP a month)</t>
        </is>
      </c>
    </row>
    <row r="15" ht="31.5" customHeight="1" s="34">
      <c r="A15" s="41" t="inlineStr">
        <is>
          <t>Partner</t>
        </is>
      </c>
      <c r="B15" s="41" t="inlineStr">
        <is>
          <t>Base T1 (X/2)</t>
        </is>
      </c>
      <c r="C15" s="41" t="inlineStr">
        <is>
          <t>KPI max T1 (2X)</t>
        </is>
      </c>
      <c r="D15" s="41" t="inlineStr">
        <is>
          <t>Max total T1</t>
        </is>
      </c>
      <c r="E15" s="41" t="inlineStr">
        <is>
          <t>Base T2</t>
        </is>
      </c>
      <c r="F15" s="41" t="inlineStr">
        <is>
          <t>KPI max T2</t>
        </is>
      </c>
      <c r="G15" s="41" t="inlineStr">
        <is>
          <t>Max total T2</t>
        </is>
      </c>
      <c r="H15" s="41" t="inlineStr">
        <is>
          <t>Base T3</t>
        </is>
      </c>
      <c r="I15" s="41" t="inlineStr">
        <is>
          <t>KPI max T3</t>
        </is>
      </c>
      <c r="J15" s="41" t="inlineStr">
        <is>
          <t>Max total T3</t>
        </is>
      </c>
    </row>
    <row r="16" ht="15" customHeight="1" s="34">
      <c r="A16" s="37">
        <f>A5</f>
        <v/>
      </c>
      <c r="B16" s="47">
        <f>F5/2</f>
        <v/>
      </c>
      <c r="C16" s="47">
        <f>2*F5</f>
        <v/>
      </c>
      <c r="D16" s="47">
        <f>F5*2.5</f>
        <v/>
      </c>
      <c r="E16" s="47">
        <f>G5/2</f>
        <v/>
      </c>
      <c r="F16" s="47">
        <f>2*G5</f>
        <v/>
      </c>
      <c r="G16" s="47">
        <f>G5*2.5</f>
        <v/>
      </c>
      <c r="H16" s="47">
        <f>H5/2</f>
        <v/>
      </c>
      <c r="I16" s="47">
        <f>2*H5</f>
        <v/>
      </c>
      <c r="J16" s="47">
        <f>H5*2.5</f>
        <v/>
      </c>
    </row>
    <row r="17" ht="15" customHeight="1" s="34">
      <c r="A17" s="37">
        <f>A6</f>
        <v/>
      </c>
      <c r="B17" s="47">
        <f>F6/2</f>
        <v/>
      </c>
      <c r="C17" s="47">
        <f>2*F6</f>
        <v/>
      </c>
      <c r="D17" s="47">
        <f>F6*2.5</f>
        <v/>
      </c>
      <c r="E17" s="47">
        <f>G6/2</f>
        <v/>
      </c>
      <c r="F17" s="47">
        <f>2*G6</f>
        <v/>
      </c>
      <c r="G17" s="47">
        <f>G6*2.5</f>
        <v/>
      </c>
      <c r="H17" s="47">
        <f>H6/2</f>
        <v/>
      </c>
      <c r="I17" s="47">
        <f>2*H6</f>
        <v/>
      </c>
      <c r="J17" s="47">
        <f>H6*2.5</f>
        <v/>
      </c>
    </row>
    <row r="18" ht="15" customHeight="1" s="34">
      <c r="A18" s="37">
        <f>A7</f>
        <v/>
      </c>
      <c r="B18" s="47">
        <f>F7/2</f>
        <v/>
      </c>
      <c r="C18" s="47">
        <f>2*F7</f>
        <v/>
      </c>
      <c r="D18" s="47">
        <f>F7*2.5</f>
        <v/>
      </c>
      <c r="E18" s="47">
        <f>G7/2</f>
        <v/>
      </c>
      <c r="F18" s="47">
        <f>2*G7</f>
        <v/>
      </c>
      <c r="G18" s="47">
        <f>G7*2.5</f>
        <v/>
      </c>
      <c r="H18" s="47">
        <f>H7/2</f>
        <v/>
      </c>
      <c r="I18" s="47">
        <f>2*H7</f>
        <v/>
      </c>
      <c r="J18" s="47">
        <f>H7*2.5</f>
        <v/>
      </c>
    </row>
    <row r="19" ht="15" customHeight="1" s="34">
      <c r="A19" s="37">
        <f>A8</f>
        <v/>
      </c>
      <c r="B19" s="47">
        <f>F8/2</f>
        <v/>
      </c>
      <c r="C19" s="47">
        <f>2*F8</f>
        <v/>
      </c>
      <c r="D19" s="47">
        <f>F8*2.5</f>
        <v/>
      </c>
      <c r="E19" s="47">
        <f>G8/2</f>
        <v/>
      </c>
      <c r="F19" s="47">
        <f>2*G8</f>
        <v/>
      </c>
      <c r="G19" s="47">
        <f>G8*2.5</f>
        <v/>
      </c>
      <c r="H19" s="47">
        <f>H8/2</f>
        <v/>
      </c>
      <c r="I19" s="47">
        <f>2*H8</f>
        <v/>
      </c>
      <c r="J19" s="47">
        <f>H8*2.5</f>
        <v/>
      </c>
    </row>
    <row r="20" ht="15" customHeight="1" s="34">
      <c r="A20" s="36" t="inlineStr">
        <is>
          <t>Total</t>
        </is>
      </c>
      <c r="B20" s="44">
        <f>SUM(B16:B19)</f>
        <v/>
      </c>
      <c r="C20" s="44">
        <f>SUM(C16:C19)</f>
        <v/>
      </c>
      <c r="D20" s="44">
        <f>SUM(D16:D19)</f>
        <v/>
      </c>
      <c r="E20" s="44">
        <f>SUM(E16:E19)</f>
        <v/>
      </c>
      <c r="F20" s="44">
        <f>SUM(F16:F19)</f>
        <v/>
      </c>
      <c r="G20" s="44">
        <f>SUM(G16:G19)</f>
        <v/>
      </c>
      <c r="H20" s="44">
        <f>SUM(H16:H19)</f>
        <v/>
      </c>
      <c r="I20" s="44">
        <f>SUM(I16:I19)</f>
        <v/>
      </c>
      <c r="J20" s="44">
        <f>SUM(J16:J19)</f>
        <v/>
      </c>
    </row>
    <row r="22" ht="15" customHeight="1" s="34">
      <c r="A22" s="39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2026-10-26T15:57:43Z</dcterms:created>
  <dcterms:modified xmlns:dcterms="http://purl.org/dc/terms/" xmlns:xsi="http://www.w3.org/2001/XMLSchema-instance" xsi:type="dcterms:W3CDTF">2026-10-26T17:46:54Z</dcterms:modified>
  <cp:revision>0</cp:revision>
</cp:coreProperties>
</file>